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OfMutton\Documents\"/>
    </mc:Choice>
  </mc:AlternateContent>
  <xr:revisionPtr revIDLastSave="0" documentId="13_ncr:1_{C85C41A9-A231-4198-8401-945553B7F293}" xr6:coauthVersionLast="47" xr6:coauthVersionMax="47" xr10:uidLastSave="{00000000-0000-0000-0000-000000000000}"/>
  <bookViews>
    <workbookView xWindow="-120" yWindow="-120" windowWidth="27420" windowHeight="16440" xr2:uid="{E93849B5-810A-47F8-AEA6-6E85B185CB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1" l="1"/>
  <c r="G51" i="1" s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3" i="1"/>
  <c r="F4" i="1"/>
  <c r="F5" i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" i="1"/>
  <c r="G2" i="1" s="1"/>
  <c r="G3" i="1"/>
  <c r="G4" i="1"/>
  <c r="G5" i="1"/>
</calcChain>
</file>

<file path=xl/sharedStrings.xml><?xml version="1.0" encoding="utf-8"?>
<sst xmlns="http://schemas.openxmlformats.org/spreadsheetml/2006/main" count="7" uniqueCount="7">
  <si>
    <t>Dátum</t>
  </si>
  <si>
    <t>Ár</t>
  </si>
  <si>
    <t>Kmóraállás</t>
  </si>
  <si>
    <t>Liter</t>
  </si>
  <si>
    <t>Km/l</t>
  </si>
  <si>
    <t>l/100km</t>
  </si>
  <si>
    <t>Trip Kmóraállás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</si>
</sst>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#,##0.00_ ;[Red]\-#,##0.00\ 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6">
    <dxf>
      <numFmt numFmtId="3" formatCode="#,##0"/>
    </dxf>
    <dxf>
      <numFmt numFmtId="2" formatCode="0.00"/>
    </dxf>
    <dxf>
      <numFmt numFmtId="2" formatCode="0.00"/>
    </dxf>
    <dxf>
      <numFmt numFmtId="165" formatCode="#,##0.00_ ;[Red]\-#,##0.00\ "/>
    </dxf>
    <dxf>
      <numFmt numFmtId="164" formatCode="#,##0_ ;[Red]\-#,##0\ 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3D5380-5841-4861-A06E-5AA814AF6938}" name="Table1" displayName="Table1" ref="A1:G51" totalsRowShown="0">
  <autoFilter ref="A1:G51" xr:uid="{803D5380-5841-4861-A06E-5AA814AF6938}"/>
  <tableColumns count="7">
    <tableColumn id="1" xr3:uid="{B49C1BFC-9FDD-472F-B853-ECFA48D03282}" name="Dátum" dataDxfId="5"/>
    <tableColumn id="2" xr3:uid="{8A01481D-A2F2-4141-8F5E-BBA34E4072A0}" name="Ár" dataDxfId="4"/>
    <tableColumn id="4" xr3:uid="{086A3429-1427-4B7B-A2F1-105B23D06912}" name="Liter" dataDxfId="3"/>
    <tableColumn id="3" xr3:uid="{7EDAD690-774B-42E5-B9FD-68A029FADD8A}" name="Trip Kmóraállás"/>
    <tableColumn id="7" xr3:uid="{52B316EF-15E0-4C3F-907D-43580C7B0ADC}" name="Kmóraállás" dataDxfId="0"/>
    <tableColumn id="5" xr3:uid="{0EF55AEF-56A3-475F-B02B-D58DC0776AC8}" name="Km/l" dataDxfId="2">
      <calculatedColumnFormula>IF(Table1[[#This Row],[Liter]]&gt;0,IF(D3&gt;0,D3/Table1[[#This Row],[Liter]],"Km/l missing"),"Liter missing")</calculatedColumnFormula>
    </tableColumn>
    <tableColumn id="6" xr3:uid="{8A185D82-7AF0-4F56-BB39-59938C77BE7F}" name="l/100km" dataDxfId="1">
      <calculatedColumnFormula>IFERROR(1/Table1[[#This Row],[Km/l]]*100,"?")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8F507-4D0E-4A66-809B-37FBF47D5277}">
  <dimension ref="A1:G51"/>
  <sheetViews>
    <sheetView tabSelected="1" topLeftCell="A25" workbookViewId="0">
      <selection activeCell="K51" sqref="K51"/>
    </sheetView>
  </sheetViews>
  <sheetFormatPr defaultRowHeight="15" x14ac:dyDescent="0.25"/>
  <cols>
    <col min="1" max="1" width="10.42578125" bestFit="1" customWidth="1"/>
    <col min="3" max="3" width="13" customWidth="1"/>
    <col min="4" max="4" width="13.140625" bestFit="1" customWidth="1"/>
    <col min="5" max="5" width="13.140625" customWidth="1"/>
    <col min="6" max="6" width="12.140625" bestFit="1" customWidth="1"/>
    <col min="7" max="7" width="10.28515625" bestFit="1" customWidth="1"/>
  </cols>
  <sheetData>
    <row r="1" spans="1:7" x14ac:dyDescent="0.25">
      <c r="A1" t="s">
        <v>0</v>
      </c>
      <c r="B1" t="s">
        <v>1</v>
      </c>
      <c r="C1" t="s">
        <v>3</v>
      </c>
      <c r="D1" t="s">
        <v>6</v>
      </c>
      <c r="E1" t="s">
        <v>2</v>
      </c>
      <c r="F1" t="s">
        <v>4</v>
      </c>
      <c r="G1" t="s">
        <v>5</v>
      </c>
    </row>
    <row r="2" spans="1:7" x14ac:dyDescent="0.25">
      <c r="A2" s="2">
        <v>45812</v>
      </c>
      <c r="B2" s="1">
        <v>-24131</v>
      </c>
      <c r="C2" s="3"/>
      <c r="E2" s="5"/>
      <c r="F2" s="4" t="str">
        <f>IF(Table1[[#This Row],[Liter]]&gt;0,IF(D3&gt;0,D3/Table1[[#This Row],[Liter]],"Km/l missing"),"Liter missing")</f>
        <v>Liter missing</v>
      </c>
      <c r="G2" s="4" t="str">
        <f>IFERROR(1/Table1[[#This Row],[Km/l]]*100,"?")</f>
        <v>?</v>
      </c>
    </row>
    <row r="3" spans="1:7" x14ac:dyDescent="0.25">
      <c r="A3" s="2">
        <v>45819</v>
      </c>
      <c r="B3" s="1">
        <v>-19760</v>
      </c>
      <c r="C3" s="3"/>
      <c r="E3" s="5"/>
      <c r="F3" s="4" t="str">
        <f>IF(Table1[[#This Row],[Liter]]&gt;0,IF(D4&gt;0,D4/Table1[[#This Row],[Liter]],"Km/l missing"),"Liter missing")</f>
        <v>Liter missing</v>
      </c>
      <c r="G3" s="4" t="str">
        <f>IFERROR(1/Table1[[#This Row],[Km/l]]*100,"?")</f>
        <v>?</v>
      </c>
    </row>
    <row r="4" spans="1:7" x14ac:dyDescent="0.25">
      <c r="A4" s="2">
        <v>45826</v>
      </c>
      <c r="B4" s="1">
        <v>-25034</v>
      </c>
      <c r="C4" s="3">
        <v>42.43</v>
      </c>
      <c r="D4">
        <v>480.2</v>
      </c>
      <c r="E4" s="5"/>
      <c r="F4" s="4">
        <f>IF(Table1[[#This Row],[Liter]]&gt;0,IF(D5&gt;0,D5/Table1[[#This Row],[Liter]],"Km/l missing"),"Liter missing")</f>
        <v>10.127268442139995</v>
      </c>
      <c r="G4" s="4">
        <f>IFERROR(1/Table1[[#This Row],[Km/l]]*100,"?")</f>
        <v>9.8743309285548051</v>
      </c>
    </row>
    <row r="5" spans="1:7" x14ac:dyDescent="0.25">
      <c r="A5" s="2">
        <v>45833</v>
      </c>
      <c r="B5" s="1">
        <v>-21750</v>
      </c>
      <c r="C5" s="3">
        <v>36.07</v>
      </c>
      <c r="D5">
        <v>429.7</v>
      </c>
      <c r="E5" s="5"/>
      <c r="F5" s="4">
        <f>IF(Table1[[#This Row],[Liter]]&gt;0,IF(D6&gt;0,D6/Table1[[#This Row],[Liter]],"Km/l missing"),"Liter missing")</f>
        <v>11.621846409758803</v>
      </c>
      <c r="G5" s="4">
        <f>IFERROR(1/Table1[[#This Row],[Km/l]]*100,"?")</f>
        <v>8.6044847328244281</v>
      </c>
    </row>
    <row r="6" spans="1:7" x14ac:dyDescent="0.25">
      <c r="A6" s="2">
        <v>45840</v>
      </c>
      <c r="B6" s="1">
        <v>-11041</v>
      </c>
      <c r="C6" s="3">
        <v>17.84</v>
      </c>
      <c r="D6">
        <v>419.2</v>
      </c>
      <c r="E6" s="5"/>
      <c r="F6" s="4">
        <f>IF(Table1[[#This Row],[Liter]]&gt;0,IF(D7&gt;0,D7/Table1[[#This Row],[Liter]],"Km/l missing"),"Liter missing")</f>
        <v>18.43609865470852</v>
      </c>
      <c r="G6" s="4">
        <f>IFERROR(1/Table1[[#This Row],[Km/l]]*100,"?")</f>
        <v>5.4241410763149895</v>
      </c>
    </row>
    <row r="7" spans="1:7" x14ac:dyDescent="0.25">
      <c r="A7" s="2">
        <v>45842</v>
      </c>
      <c r="B7" s="1">
        <v>-24373</v>
      </c>
      <c r="C7" s="3">
        <v>41.45</v>
      </c>
      <c r="D7">
        <v>328.9</v>
      </c>
      <c r="E7" s="5"/>
      <c r="F7" s="4">
        <f>IF(Table1[[#This Row],[Liter]]&gt;0,IF(D8&gt;0,D8/Table1[[#This Row],[Liter]],"Km/l missing"),"Liter missing")</f>
        <v>13.47406513872135</v>
      </c>
      <c r="G7" s="4">
        <f>IFERROR(1/Table1[[#This Row],[Km/l]]*100,"?")</f>
        <v>7.4216651745747537</v>
      </c>
    </row>
    <row r="8" spans="1:7" x14ac:dyDescent="0.25">
      <c r="A8" s="2">
        <v>45847</v>
      </c>
      <c r="B8" s="1">
        <v>-24149</v>
      </c>
      <c r="C8" s="3">
        <v>41.28</v>
      </c>
      <c r="D8">
        <v>558.5</v>
      </c>
      <c r="E8" s="5"/>
      <c r="F8" s="4">
        <f>IF(Table1[[#This Row],[Liter]]&gt;0,IF(D9&gt;0,D9/Table1[[#This Row],[Liter]],"Km/l missing"),"Liter missing")</f>
        <v>13.965600775193797</v>
      </c>
      <c r="G8" s="4">
        <f>IFERROR(1/Table1[[#This Row],[Km/l]]*100,"?")</f>
        <v>7.1604509973980921</v>
      </c>
    </row>
    <row r="9" spans="1:7" x14ac:dyDescent="0.25">
      <c r="A9" s="2">
        <v>45861</v>
      </c>
      <c r="B9" s="1">
        <v>-24821</v>
      </c>
      <c r="C9" s="3">
        <v>42.07</v>
      </c>
      <c r="D9">
        <v>576.5</v>
      </c>
      <c r="E9" s="5"/>
      <c r="F9" s="4">
        <f>IF(Table1[[#This Row],[Liter]]&gt;0,IF(D10&gt;0,D10/Table1[[#This Row],[Liter]],"Km/l missing"),"Liter missing")</f>
        <v>11.942001426194437</v>
      </c>
      <c r="G9" s="4">
        <f>IFERROR(1/Table1[[#This Row],[Km/l]]*100,"?")</f>
        <v>8.3738057324840778</v>
      </c>
    </row>
    <row r="10" spans="1:7" x14ac:dyDescent="0.25">
      <c r="A10" s="2">
        <v>45873</v>
      </c>
      <c r="B10" s="1">
        <v>-22740</v>
      </c>
      <c r="C10" s="3">
        <v>38.74</v>
      </c>
      <c r="D10">
        <v>502.4</v>
      </c>
      <c r="E10" s="5"/>
      <c r="F10" s="4">
        <f>IF(Table1[[#This Row],[Liter]]&gt;0,IF(D11&gt;0,D11/Table1[[#This Row],[Liter]],"Km/l missing"),"Liter missing")</f>
        <v>13.144037170882807</v>
      </c>
      <c r="G10" s="4">
        <f>IFERROR(1/Table1[[#This Row],[Km/l]]*100,"?")</f>
        <v>7.6080125687352718</v>
      </c>
    </row>
    <row r="11" spans="1:7" x14ac:dyDescent="0.25">
      <c r="A11" s="2">
        <v>45890</v>
      </c>
      <c r="B11" s="1">
        <v>-22686</v>
      </c>
      <c r="C11" s="3">
        <v>39.869999999999997</v>
      </c>
      <c r="D11">
        <v>509.2</v>
      </c>
      <c r="E11" s="5"/>
      <c r="F11" s="4">
        <f>IF(Table1[[#This Row],[Liter]]&gt;0,IF(D12&gt;0,D12/Table1[[#This Row],[Liter]],"Km/l missing"),"Liter missing")</f>
        <v>13.313268121394533</v>
      </c>
      <c r="G11" s="4">
        <f>IFERROR(1/Table1[[#This Row],[Km/l]]*100,"?")</f>
        <v>7.5113036925395633</v>
      </c>
    </row>
    <row r="12" spans="1:7" x14ac:dyDescent="0.25">
      <c r="A12" s="2">
        <v>45898</v>
      </c>
      <c r="B12" s="1">
        <v>-22059</v>
      </c>
      <c r="C12" s="3">
        <v>38.229999999999997</v>
      </c>
      <c r="D12">
        <v>530.79999999999995</v>
      </c>
      <c r="E12" s="5"/>
      <c r="F12" s="4">
        <f>IF(Table1[[#This Row],[Liter]]&gt;0,IF(D13&gt;0,D13/Table1[[#This Row],[Liter]],"Km/l missing"),"Liter missing")</f>
        <v>15.391054145958671</v>
      </c>
      <c r="G12" s="4">
        <f>IFERROR(1/Table1[[#This Row],[Km/l]]*100,"?")</f>
        <v>6.4972807613868113</v>
      </c>
    </row>
    <row r="13" spans="1:7" x14ac:dyDescent="0.25">
      <c r="A13" s="2">
        <v>45913</v>
      </c>
      <c r="B13" s="1">
        <v>-27143</v>
      </c>
      <c r="C13" s="3">
        <v>46.24</v>
      </c>
      <c r="D13">
        <v>588.4</v>
      </c>
      <c r="E13" s="5"/>
      <c r="F13" s="4" t="str">
        <f>IF(Table1[[#This Row],[Liter]]&gt;0,IF(D14&gt;0,D14/Table1[[#This Row],[Liter]],"Km/l missing"),"Liter missing")</f>
        <v>Km/l missing</v>
      </c>
      <c r="G13" s="4" t="str">
        <f>IFERROR(1/Table1[[#This Row],[Km/l]]*100,"?")</f>
        <v>?</v>
      </c>
    </row>
    <row r="14" spans="1:7" x14ac:dyDescent="0.25">
      <c r="A14" s="2">
        <v>45920</v>
      </c>
      <c r="B14" s="1">
        <v>-21987</v>
      </c>
      <c r="C14" s="3">
        <v>37.5</v>
      </c>
      <c r="E14" s="5"/>
      <c r="F14" s="4">
        <f>IF(Table1[[#This Row],[Liter]]&gt;0,IF(D15&gt;0,D15/Table1[[#This Row],[Liter]],"Km/l missing"),"Liter missing")</f>
        <v>14.498666666666669</v>
      </c>
      <c r="G14" s="4">
        <f>IFERROR(1/Table1[[#This Row],[Km/l]]*100,"?")</f>
        <v>6.8971859481331608</v>
      </c>
    </row>
    <row r="15" spans="1:7" x14ac:dyDescent="0.25">
      <c r="A15" s="2">
        <v>45927</v>
      </c>
      <c r="B15" s="1">
        <v>-24318</v>
      </c>
      <c r="C15" s="3">
        <v>41.57</v>
      </c>
      <c r="D15">
        <v>543.70000000000005</v>
      </c>
      <c r="E15" s="5"/>
      <c r="F15" s="4" t="str">
        <f>IF(Table1[[#This Row],[Liter]]&gt;0,IF(D16&gt;0,D16/Table1[[#This Row],[Liter]],"Km/l missing"),"Liter missing")</f>
        <v>Km/l missing</v>
      </c>
      <c r="G15" s="4" t="str">
        <f>IFERROR(1/Table1[[#This Row],[Km/l]]*100,"?")</f>
        <v>?</v>
      </c>
    </row>
    <row r="16" spans="1:7" x14ac:dyDescent="0.25">
      <c r="A16" s="2">
        <v>45937</v>
      </c>
      <c r="B16" s="1">
        <v>-24565</v>
      </c>
      <c r="C16" s="3">
        <v>42.5</v>
      </c>
      <c r="E16" s="5"/>
      <c r="F16" s="4">
        <f>IF(Table1[[#This Row],[Liter]]&gt;0,IF(D17&gt;0,D17/Table1[[#This Row],[Liter]],"Km/l missing"),"Liter missing")</f>
        <v>2.1105882352941179</v>
      </c>
      <c r="G16" s="4">
        <f>IFERROR(1/Table1[[#This Row],[Km/l]]*100,"?")</f>
        <v>47.380156075808245</v>
      </c>
    </row>
    <row r="17" spans="1:7" x14ac:dyDescent="0.25">
      <c r="A17" s="2">
        <v>45944</v>
      </c>
      <c r="B17" s="1">
        <v>-19226</v>
      </c>
      <c r="C17" s="3">
        <v>33.85</v>
      </c>
      <c r="D17">
        <v>89.7</v>
      </c>
      <c r="E17" s="5"/>
      <c r="F17" s="4">
        <f>IF(Table1[[#This Row],[Liter]]&gt;0,IF(D18&gt;0,D18/Table1[[#This Row],[Liter]],"Km/l missing"),"Liter missing")</f>
        <v>4.2186115214180209</v>
      </c>
      <c r="G17" s="4">
        <f>IFERROR(1/Table1[[#This Row],[Km/l]]*100,"?")</f>
        <v>23.704481792717086</v>
      </c>
    </row>
    <row r="18" spans="1:7" x14ac:dyDescent="0.25">
      <c r="A18" s="2">
        <v>45945</v>
      </c>
      <c r="B18" s="1"/>
      <c r="C18" s="3"/>
      <c r="D18">
        <v>142.80000000000001</v>
      </c>
      <c r="E18" s="5"/>
      <c r="F18" s="4" t="str">
        <f>IF(Table1[[#This Row],[Liter]]&gt;0,IF(D19&gt;0,D19/Table1[[#This Row],[Liter]],"Km/l missing"),"Liter missing")</f>
        <v>Liter missing</v>
      </c>
      <c r="G18" s="4" t="str">
        <f>IFERROR(1/Table1[[#This Row],[Km/l]]*100,"?")</f>
        <v>?</v>
      </c>
    </row>
    <row r="19" spans="1:7" x14ac:dyDescent="0.25">
      <c r="A19" s="2">
        <v>45951</v>
      </c>
      <c r="B19" s="1">
        <v>-20480</v>
      </c>
      <c r="C19" s="3">
        <v>36.9</v>
      </c>
      <c r="D19">
        <v>293.39999999999998</v>
      </c>
      <c r="E19" s="5"/>
      <c r="F19" s="4">
        <f>IF(Table1[[#This Row],[Liter]]&gt;0,IF(D20&gt;0,D20/Table1[[#This Row],[Liter]],"Km/l missing"),"Liter missing")</f>
        <v>16.688346883468835</v>
      </c>
      <c r="G19" s="4">
        <f>IFERROR(1/Table1[[#This Row],[Km/l]]*100,"?")</f>
        <v>5.9922052614485226</v>
      </c>
    </row>
    <row r="20" spans="1:7" x14ac:dyDescent="0.25">
      <c r="A20" s="2">
        <v>45951</v>
      </c>
      <c r="B20" s="1">
        <v>-22758</v>
      </c>
      <c r="C20" s="3">
        <v>34.619999999999997</v>
      </c>
      <c r="D20">
        <v>615.79999999999995</v>
      </c>
      <c r="E20" s="5"/>
      <c r="F20" s="4">
        <f>IF(Table1[[#This Row],[Liter]]&gt;0,IF(D21&gt;0,D21/Table1[[#This Row],[Liter]],"Km/l missing"),"Liter missing")</f>
        <v>14.803581744656269</v>
      </c>
      <c r="G20" s="4">
        <f>IFERROR(1/Table1[[#This Row],[Km/l]]*100,"?")</f>
        <v>6.7551219512195111</v>
      </c>
    </row>
    <row r="21" spans="1:7" x14ac:dyDescent="0.25">
      <c r="A21" s="2">
        <v>45953</v>
      </c>
      <c r="B21" s="1"/>
      <c r="C21" s="3"/>
      <c r="D21">
        <v>512.5</v>
      </c>
      <c r="E21" s="5"/>
      <c r="F21" s="4" t="str">
        <f>IF(Table1[[#This Row],[Liter]]&gt;0,IF(D22&gt;0,D22/Table1[[#This Row],[Liter]],"Km/l missing"),"Liter missing")</f>
        <v>Liter missing</v>
      </c>
      <c r="G21" s="4" t="str">
        <f>IFERROR(1/Table1[[#This Row],[Km/l]]*100,"?")</f>
        <v>?</v>
      </c>
    </row>
    <row r="22" spans="1:7" x14ac:dyDescent="0.25">
      <c r="A22" s="2">
        <v>45958</v>
      </c>
      <c r="B22" s="1"/>
      <c r="C22" s="3"/>
      <c r="D22">
        <v>519.9</v>
      </c>
      <c r="E22" s="5"/>
      <c r="F22" s="4" t="str">
        <f>IF(Table1[[#This Row],[Liter]]&gt;0,IF(D23&gt;0,D23/Table1[[#This Row],[Liter]],"Km/l missing"),"Liter missing")</f>
        <v>Liter missing</v>
      </c>
      <c r="G22" s="4" t="str">
        <f>IFERROR(1/Table1[[#This Row],[Km/l]]*100,"?")</f>
        <v>?</v>
      </c>
    </row>
    <row r="23" spans="1:7" x14ac:dyDescent="0.25">
      <c r="A23" s="2">
        <v>45961</v>
      </c>
      <c r="B23" s="1"/>
      <c r="C23" s="3"/>
      <c r="D23">
        <v>574.4</v>
      </c>
      <c r="E23" s="5"/>
      <c r="F23" s="4" t="str">
        <f>IF(Table1[[#This Row],[Liter]]&gt;0,IF(D24&gt;0,D24/Table1[[#This Row],[Liter]],"Km/l missing"),"Liter missing")</f>
        <v>Liter missing</v>
      </c>
      <c r="G23" s="4" t="str">
        <f>IFERROR(1/Table1[[#This Row],[Km/l]]*100,"?")</f>
        <v>?</v>
      </c>
    </row>
    <row r="24" spans="1:7" x14ac:dyDescent="0.25">
      <c r="A24" s="2">
        <v>45961</v>
      </c>
      <c r="B24" s="1">
        <v>-20093</v>
      </c>
      <c r="C24" s="3">
        <v>34.99</v>
      </c>
      <c r="D24">
        <v>458.1</v>
      </c>
      <c r="E24" s="5"/>
      <c r="F24" s="4">
        <f>IF(Table1[[#This Row],[Liter]]&gt;0,IF(D25&gt;0,D25/Table1[[#This Row],[Liter]],"Km/l missing"),"Liter missing")</f>
        <v>15.401543298085166</v>
      </c>
      <c r="G24" s="4">
        <f>IFERROR(1/Table1[[#This Row],[Km/l]]*100,"?")</f>
        <v>6.492855817405828</v>
      </c>
    </row>
    <row r="25" spans="1:7" x14ac:dyDescent="0.25">
      <c r="A25" s="2">
        <v>45963</v>
      </c>
      <c r="B25" s="1">
        <v>-19800</v>
      </c>
      <c r="C25" s="3"/>
      <c r="D25">
        <v>538.9</v>
      </c>
      <c r="E25" s="5"/>
      <c r="F25" s="4" t="str">
        <f>IF(Table1[[#This Row],[Liter]]&gt;0,IF(D26&gt;0,D26/Table1[[#This Row],[Liter]],"Km/l missing"),"Liter missing")</f>
        <v>Liter missing</v>
      </c>
      <c r="G25" s="4" t="str">
        <f>IFERROR(1/Table1[[#This Row],[Km/l]]*100,"?")</f>
        <v>?</v>
      </c>
    </row>
    <row r="26" spans="1:7" x14ac:dyDescent="0.25">
      <c r="A26" s="2">
        <v>46337</v>
      </c>
      <c r="B26" s="1">
        <v>-20000</v>
      </c>
      <c r="C26" s="3">
        <v>36.04</v>
      </c>
      <c r="D26">
        <v>415</v>
      </c>
      <c r="E26" s="5"/>
      <c r="F26" s="4">
        <f>IF(Table1[[#This Row],[Liter]]&gt;0,IF(D27&gt;0,D27/Table1[[#This Row],[Liter]],"Km/l missing"),"Liter missing")</f>
        <v>12.59433962264151</v>
      </c>
      <c r="G26" s="4">
        <f>IFERROR(1/Table1[[#This Row],[Km/l]]*100,"?")</f>
        <v>7.9400749063670411</v>
      </c>
    </row>
    <row r="27" spans="1:7" x14ac:dyDescent="0.25">
      <c r="A27" s="2">
        <v>45980</v>
      </c>
      <c r="B27" s="1">
        <v>-27123</v>
      </c>
      <c r="C27" s="3">
        <v>48.52</v>
      </c>
      <c r="D27">
        <v>453.9</v>
      </c>
      <c r="E27" s="5"/>
      <c r="F27" s="4">
        <f>IF(Table1[[#This Row],[Liter]]&gt;0,IF(D28&gt;0,D28/Table1[[#This Row],[Liter]],"Km/l missing"),"Liter missing")</f>
        <v>7.3495465787304202</v>
      </c>
      <c r="G27" s="4">
        <f>IFERROR(1/Table1[[#This Row],[Km/l]]*100,"?")</f>
        <v>13.606281547952889</v>
      </c>
    </row>
    <row r="28" spans="1:7" x14ac:dyDescent="0.25">
      <c r="A28" s="2">
        <v>45994</v>
      </c>
      <c r="B28" s="1">
        <v>-22099</v>
      </c>
      <c r="C28" s="3"/>
      <c r="D28">
        <v>356.6</v>
      </c>
      <c r="E28" s="5"/>
      <c r="F28" s="4" t="str">
        <f>IF(Table1[[#This Row],[Liter]]&gt;0,IF(D29&gt;0,D29/Table1[[#This Row],[Liter]],"Km/l missing"),"Liter missing")</f>
        <v>Liter missing</v>
      </c>
      <c r="G28" s="4" t="str">
        <f>IFERROR(1/Table1[[#This Row],[Km/l]]*100,"?")</f>
        <v>?</v>
      </c>
    </row>
    <row r="29" spans="1:7" x14ac:dyDescent="0.25">
      <c r="A29" s="2">
        <v>46004</v>
      </c>
      <c r="B29" s="1">
        <v>-19583</v>
      </c>
      <c r="C29" s="3"/>
      <c r="D29">
        <v>471.3</v>
      </c>
      <c r="E29" s="5"/>
      <c r="F29" s="4" t="str">
        <f>IF(Table1[[#This Row],[Liter]]&gt;0,IF(D30&gt;0,D30/Table1[[#This Row],[Liter]],"Km/l missing"),"Liter missing")</f>
        <v>Liter missing</v>
      </c>
      <c r="G29" s="4" t="str">
        <f>IFERROR(1/Table1[[#This Row],[Km/l]]*100,"?")</f>
        <v>?</v>
      </c>
    </row>
    <row r="30" spans="1:7" x14ac:dyDescent="0.25">
      <c r="A30" s="2">
        <v>46012</v>
      </c>
      <c r="B30" s="1">
        <v>-23117</v>
      </c>
      <c r="C30" s="3"/>
      <c r="D30">
        <v>447</v>
      </c>
      <c r="E30" s="5"/>
      <c r="F30" s="4" t="str">
        <f>IF(Table1[[#This Row],[Liter]]&gt;0,IF(D31&gt;0,D31/Table1[[#This Row],[Liter]],"Km/l missing"),"Liter missing")</f>
        <v>Liter missing</v>
      </c>
      <c r="G30" s="4" t="str">
        <f>IFERROR(1/Table1[[#This Row],[Km/l]]*100,"?")</f>
        <v>?</v>
      </c>
    </row>
    <row r="31" spans="1:7" x14ac:dyDescent="0.25">
      <c r="A31" s="2">
        <v>46020</v>
      </c>
      <c r="B31" s="1">
        <v>-23401</v>
      </c>
      <c r="C31" s="3"/>
      <c r="D31">
        <v>561</v>
      </c>
      <c r="E31" s="5"/>
      <c r="F31" s="4" t="str">
        <f>IF(Table1[[#This Row],[Liter]]&gt;0,IF(D32&gt;0,D32/Table1[[#This Row],[Liter]],"Km/l missing"),"Liter missing")</f>
        <v>Liter missing</v>
      </c>
      <c r="G31" s="4" t="str">
        <f>IFERROR(1/Table1[[#This Row],[Km/l]]*100,"?")</f>
        <v>?</v>
      </c>
    </row>
    <row r="32" spans="1:7" x14ac:dyDescent="0.25">
      <c r="A32" s="2">
        <v>46036</v>
      </c>
      <c r="B32" s="1">
        <v>-23392</v>
      </c>
      <c r="C32" s="3"/>
      <c r="D32">
        <v>487.5</v>
      </c>
      <c r="E32" s="5"/>
      <c r="F32" s="4" t="str">
        <f>IF(Table1[[#This Row],[Liter]]&gt;0,IF(D33&gt;0,D33/Table1[[#This Row],[Liter]],"Km/l missing"),"Liter missing")</f>
        <v>Liter missing</v>
      </c>
      <c r="G32" s="4" t="str">
        <f>IFERROR(1/Table1[[#This Row],[Km/l]]*100,"?")</f>
        <v>?</v>
      </c>
    </row>
    <row r="33" spans="1:7" x14ac:dyDescent="0.25">
      <c r="A33" s="2">
        <v>46045</v>
      </c>
      <c r="B33" s="1">
        <v>-23410</v>
      </c>
      <c r="C33" s="3"/>
      <c r="D33">
        <v>536.9</v>
      </c>
      <c r="E33" s="5"/>
      <c r="F33" s="4" t="str">
        <f>IF(Table1[[#This Row],[Liter]]&gt;0,IF(D34&gt;0,D34/Table1[[#This Row],[Liter]],"Km/l missing"),"Liter missing")</f>
        <v>Liter missing</v>
      </c>
      <c r="G33" s="4" t="str">
        <f>IFERROR(1/Table1[[#This Row],[Km/l]]*100,"?")</f>
        <v>?</v>
      </c>
    </row>
    <row r="34" spans="1:7" x14ac:dyDescent="0.25">
      <c r="A34" s="2">
        <v>46056</v>
      </c>
      <c r="B34" s="1">
        <v>-25527</v>
      </c>
      <c r="C34" s="3"/>
      <c r="D34">
        <v>555</v>
      </c>
      <c r="E34" s="5"/>
      <c r="F34" s="4" t="str">
        <f>IF(Table1[[#This Row],[Liter]]&gt;0,IF(D35&gt;0,D35/Table1[[#This Row],[Liter]],"Km/l missing"),"Liter missing")</f>
        <v>Liter missing</v>
      </c>
      <c r="G34" s="4" t="str">
        <f>IFERROR(1/Table1[[#This Row],[Km/l]]*100,"?")</f>
        <v>?</v>
      </c>
    </row>
    <row r="35" spans="1:7" x14ac:dyDescent="0.25">
      <c r="A35" s="2">
        <v>46069</v>
      </c>
      <c r="B35" s="1">
        <v>-25311</v>
      </c>
      <c r="C35" s="3"/>
      <c r="D35">
        <v>516.9</v>
      </c>
      <c r="E35" s="5"/>
      <c r="F35" s="4" t="str">
        <f>IF(Table1[[#This Row],[Liter]]&gt;0,IF(D36&gt;0,D36/Table1[[#This Row],[Liter]],"Km/l missing"),"Liter missing")</f>
        <v>Liter missing</v>
      </c>
      <c r="G35" s="4" t="str">
        <f>IFERROR(1/Table1[[#This Row],[Km/l]]*100,"?")</f>
        <v>?</v>
      </c>
    </row>
    <row r="36" spans="1:7" x14ac:dyDescent="0.25">
      <c r="A36" s="2">
        <v>46079</v>
      </c>
      <c r="B36" s="1">
        <v>-24902</v>
      </c>
      <c r="C36" s="3"/>
      <c r="D36">
        <v>540.9</v>
      </c>
      <c r="E36" s="5"/>
      <c r="F36" s="4" t="str">
        <f>IF(Table1[[#This Row],[Liter]]&gt;0,IF(D37&gt;0,D37/Table1[[#This Row],[Liter]],"Km/l missing"),"Liter missing")</f>
        <v>Liter missing</v>
      </c>
      <c r="G36" s="4" t="str">
        <f>IFERROR(1/Table1[[#This Row],[Km/l]]*100,"?")</f>
        <v>?</v>
      </c>
    </row>
    <row r="37" spans="1:7" x14ac:dyDescent="0.25">
      <c r="A37" s="2">
        <v>46091</v>
      </c>
      <c r="B37" s="1">
        <v>-21819</v>
      </c>
      <c r="C37" s="3"/>
      <c r="D37">
        <v>558.5</v>
      </c>
      <c r="E37" s="5"/>
      <c r="F37" s="4" t="str">
        <f>IF(Table1[[#This Row],[Liter]]&gt;0,IF(D38&gt;0,D38/Table1[[#This Row],[Liter]],"Km/l missing"),"Liter missing")</f>
        <v>Liter missing</v>
      </c>
      <c r="G37" s="4" t="str">
        <f>IFERROR(1/Table1[[#This Row],[Km/l]]*100,"?")</f>
        <v>?</v>
      </c>
    </row>
    <row r="38" spans="1:7" x14ac:dyDescent="0.25">
      <c r="A38" s="2">
        <v>46092</v>
      </c>
      <c r="B38" s="1"/>
      <c r="C38" s="3"/>
      <c r="D38">
        <v>566.1</v>
      </c>
      <c r="E38" s="5"/>
      <c r="F38" s="4" t="str">
        <f>IF(Table1[[#This Row],[Liter]]&gt;0,IF(D39&gt;0,D39/Table1[[#This Row],[Liter]],"Km/l missing"),"Liter missing")</f>
        <v>Liter missing</v>
      </c>
      <c r="G38" s="4" t="str">
        <f>IFERROR(1/Table1[[#This Row],[Km/l]]*100,"?")</f>
        <v>?</v>
      </c>
    </row>
    <row r="39" spans="1:7" x14ac:dyDescent="0.25">
      <c r="A39" s="2">
        <v>46102</v>
      </c>
      <c r="B39" s="1">
        <v>-24838</v>
      </c>
      <c r="C39" s="3"/>
      <c r="D39">
        <v>444.6</v>
      </c>
      <c r="E39" s="5"/>
      <c r="F39" s="4" t="str">
        <f>IF(Table1[[#This Row],[Liter]]&gt;0,IF(D40&gt;0,D40/Table1[[#This Row],[Liter]],"Km/l missing"),"Liter missing")</f>
        <v>Liter missing</v>
      </c>
      <c r="G39" s="4" t="str">
        <f>IFERROR(1/Table1[[#This Row],[Km/l]]*100,"?")</f>
        <v>?</v>
      </c>
    </row>
    <row r="40" spans="1:7" x14ac:dyDescent="0.25">
      <c r="A40" s="2">
        <v>46113</v>
      </c>
      <c r="B40" s="1">
        <v>-27001</v>
      </c>
      <c r="C40" s="3"/>
      <c r="D40">
        <v>462.9</v>
      </c>
      <c r="E40" s="5"/>
      <c r="F40" s="4" t="str">
        <f>IF(Table1[[#This Row],[Liter]]&gt;0,IF(D41&gt;0,D41/Table1[[#This Row],[Liter]],"Km/l missing"),"Liter missing")</f>
        <v>Liter missing</v>
      </c>
      <c r="G40" s="4" t="str">
        <f>IFERROR(1/Table1[[#This Row],[Km/l]]*100,"?")</f>
        <v>?</v>
      </c>
    </row>
    <row r="41" spans="1:7" x14ac:dyDescent="0.25">
      <c r="A41" s="2">
        <v>46127</v>
      </c>
      <c r="B41" s="1">
        <v>-23783</v>
      </c>
      <c r="C41" s="3"/>
      <c r="D41">
        <v>584</v>
      </c>
      <c r="E41" s="5"/>
      <c r="F41" s="4" t="str">
        <f>IF(Table1[[#This Row],[Liter]]&gt;0,IF(D42&gt;0,D42/Table1[[#This Row],[Liter]],"Km/l missing"),"Liter missing")</f>
        <v>Liter missing</v>
      </c>
      <c r="G41" s="4" t="str">
        <f>IFERROR(1/Table1[[#This Row],[Km/l]]*100,"?")</f>
        <v>?</v>
      </c>
    </row>
    <row r="42" spans="1:7" x14ac:dyDescent="0.25">
      <c r="A42" s="2">
        <v>46140</v>
      </c>
      <c r="B42" s="1">
        <v>-26614</v>
      </c>
      <c r="C42" s="3"/>
      <c r="D42">
        <v>491.6</v>
      </c>
      <c r="E42" s="5">
        <v>200967</v>
      </c>
      <c r="F42" s="4" t="str">
        <f>IF(Table1[[#This Row],[Liter]]&gt;0,IF(D43&gt;0,D43/Table1[[#This Row],[Liter]],"Km/l missing"),"Liter missing")</f>
        <v>Liter missing</v>
      </c>
      <c r="G42" s="4" t="str">
        <f>IFERROR(1/Table1[[#This Row],[Km/l]]*100,"?")</f>
        <v>?</v>
      </c>
    </row>
    <row r="43" spans="1:7" x14ac:dyDescent="0.25">
      <c r="A43" s="2">
        <v>46150</v>
      </c>
      <c r="B43" s="1">
        <v>-23812</v>
      </c>
      <c r="C43" s="3"/>
      <c r="D43">
        <v>605.1</v>
      </c>
      <c r="E43" s="5">
        <v>201572</v>
      </c>
      <c r="F43" s="4" t="str">
        <f>IF(Table1[[#This Row],[Liter]]&gt;0,IF(D44&gt;0,D44/Table1[[#This Row],[Liter]],"Km/l missing"),"Liter missing")</f>
        <v>Liter missing</v>
      </c>
      <c r="G43" s="4" t="str">
        <f>IFERROR(1/Table1[[#This Row],[Km/l]]*100,"?")</f>
        <v>?</v>
      </c>
    </row>
    <row r="44" spans="1:7" x14ac:dyDescent="0.25">
      <c r="A44" s="2">
        <v>46160</v>
      </c>
      <c r="B44" s="1">
        <v>-25085</v>
      </c>
      <c r="C44" s="3"/>
      <c r="D44">
        <v>506.8</v>
      </c>
      <c r="E44" s="5">
        <v>202079</v>
      </c>
      <c r="F44" s="4" t="str">
        <f>IF(Table1[[#This Row],[Liter]]&gt;0,IF(D45&gt;0,D45/Table1[[#This Row],[Liter]],"Km/l missing"),"Liter missing")</f>
        <v>Liter missing</v>
      </c>
      <c r="G44" s="4" t="str">
        <f>IFERROR(1/Table1[[#This Row],[Km/l]]*100,"?")</f>
        <v>?</v>
      </c>
    </row>
    <row r="45" spans="1:7" x14ac:dyDescent="0.25">
      <c r="A45" s="2">
        <v>46172</v>
      </c>
      <c r="B45" s="1">
        <v>-30598</v>
      </c>
      <c r="C45" s="3"/>
      <c r="D45">
        <v>619.20000000000005</v>
      </c>
      <c r="E45" s="5">
        <v>202698</v>
      </c>
      <c r="F45" s="4" t="str">
        <f>IF(Table1[[#This Row],[Liter]]&gt;0,IF(D46&gt;0,D46/Table1[[#This Row],[Liter]],"Km/l missing"),"Liter missing")</f>
        <v>Liter missing</v>
      </c>
      <c r="G45" s="4" t="str">
        <f>IFERROR(1/Table1[[#This Row],[Km/l]]*100,"?")</f>
        <v>?</v>
      </c>
    </row>
    <row r="46" spans="1:7" x14ac:dyDescent="0.25">
      <c r="A46" s="2">
        <v>46183</v>
      </c>
      <c r="B46" s="1">
        <v>-21806</v>
      </c>
      <c r="C46" s="3"/>
      <c r="D46">
        <v>548</v>
      </c>
      <c r="E46" s="5">
        <v>203246</v>
      </c>
      <c r="F46" s="4" t="str">
        <f>IF(Table1[[#This Row],[Liter]]&gt;0,IF(D47&gt;0,D47/Table1[[#This Row],[Liter]],"Km/l missing"),"Liter missing")</f>
        <v>Liter missing</v>
      </c>
      <c r="G46" s="4" t="str">
        <f>IFERROR(1/Table1[[#This Row],[Km/l]]*100,"?")</f>
        <v>?</v>
      </c>
    </row>
    <row r="47" spans="1:7" x14ac:dyDescent="0.25">
      <c r="A47" s="2">
        <v>46187</v>
      </c>
      <c r="B47" s="1">
        <v>-27751</v>
      </c>
      <c r="C47" s="3">
        <v>46.64</v>
      </c>
      <c r="D47">
        <v>477.4</v>
      </c>
      <c r="E47" s="5">
        <v>203723</v>
      </c>
      <c r="F47" s="4">
        <f>IF(Table1[[#This Row],[Liter]]&gt;0,IF(D48&gt;0,D48/Table1[[#This Row],[Liter]],"Km/l missing"),"Liter missing")</f>
        <v>12.422813036020582</v>
      </c>
      <c r="G47" s="4">
        <f>IFERROR(1/Table1[[#This Row],[Km/l]]*100,"?")</f>
        <v>8.0497065930272704</v>
      </c>
    </row>
    <row r="48" spans="1:7" x14ac:dyDescent="0.25">
      <c r="A48" s="2">
        <v>46194</v>
      </c>
      <c r="B48" s="1">
        <v>-21878</v>
      </c>
      <c r="C48" s="3">
        <v>37.85</v>
      </c>
      <c r="D48">
        <v>579.4</v>
      </c>
      <c r="E48" s="5">
        <v>204303</v>
      </c>
      <c r="F48" s="4">
        <f>IF(Table1[[#This Row],[Liter]]&gt;0,IF(D49&gt;0,D49/Table1[[#This Row],[Liter]],"Km/l missing"),"Liter missing")</f>
        <v>13.043593130779392</v>
      </c>
      <c r="G48" s="4">
        <f>IFERROR(1/Table1[[#This Row],[Km/l]]*100,"?")</f>
        <v>7.6665991492809393</v>
      </c>
    </row>
    <row r="49" spans="1:7" x14ac:dyDescent="0.25">
      <c r="A49" s="2">
        <v>46196</v>
      </c>
      <c r="B49" s="1">
        <v>-24197</v>
      </c>
      <c r="C49" s="3"/>
      <c r="D49">
        <v>493.7</v>
      </c>
      <c r="E49" s="5">
        <v>204797</v>
      </c>
      <c r="F49" s="4" t="str">
        <f>IF(Table1[[#This Row],[Liter]]&gt;0,IF(D50&gt;0,D50/Table1[[#This Row],[Liter]],"Km/l missing"),"Liter missing")</f>
        <v>Liter missing</v>
      </c>
      <c r="G49" s="4" t="str">
        <f>IFERROR(1/Table1[[#This Row],[Km/l]]*100,"?")</f>
        <v>?</v>
      </c>
    </row>
    <row r="50" spans="1:7" x14ac:dyDescent="0.25">
      <c r="A50" s="2">
        <v>46199</v>
      </c>
      <c r="B50" s="1"/>
      <c r="C50" s="3">
        <v>41.08</v>
      </c>
      <c r="D50">
        <v>504.6</v>
      </c>
      <c r="E50" s="5">
        <v>205301</v>
      </c>
      <c r="F50" s="4">
        <f>IF(Table1[[#This Row],[Liter]]&gt;0,IF(D51&gt;0,D51/Table1[[#This Row],[Liter]],"Km/l missing"),"Liter missing")</f>
        <v>10.294547224926971</v>
      </c>
      <c r="G50" s="4">
        <f>IFERROR(1/Table1[[#This Row],[Km/l]]*100,"?")</f>
        <v>9.7138803499645316</v>
      </c>
    </row>
    <row r="51" spans="1:7" x14ac:dyDescent="0.25">
      <c r="A51" s="2">
        <v>46200</v>
      </c>
      <c r="B51" s="1"/>
      <c r="C51" s="3">
        <v>25.65</v>
      </c>
      <c r="D51">
        <v>422.9</v>
      </c>
      <c r="E51" s="5">
        <v>205724</v>
      </c>
      <c r="F51" s="4" t="str">
        <f>IF(Table1[[#This Row],[Liter]]&gt;0,IF(D52&gt;0,D52/Table1[[#This Row],[Liter]],"Km/l missing"),"Liter missing")</f>
        <v>Km/l missing</v>
      </c>
      <c r="G51" s="4" t="str">
        <f>IFERROR(1/Table1[[#This Row],[Km/l]]*100,"?")</f>
        <v>?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6B125B-2E88-4A98-BF5C-405E0AC8BD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Dávid Faragó</dc:creator>
  <cp:lastModifiedBy>Dávid Faragó</cp:lastModifiedBy>
  <dcterms:created xsi:type="dcterms:W3CDTF">2025-08-02T16:31:14Z</dcterms:created>
  <dcterms:modified xsi:type="dcterms:W3CDTF">2026-06-29T16:37:00Z</dcterms:modified>
</cp:coreProperties>
</file>